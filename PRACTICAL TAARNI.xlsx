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476757BF-88C1-4B52-B0A4-854B31F0901B}" xr6:coauthVersionLast="47" xr6:coauthVersionMax="47" xr10:uidLastSave="{00000000-0000-0000-0000-000000000000}"/>
  <bookViews>
    <workbookView xWindow="-120" yWindow="-120" windowWidth="20730" windowHeight="11040" xr2:uid="{2DDA4319-FE56-4191-A7FB-D3656E92BF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haredStrings.xml><?xml version="1.0" encoding="utf-8"?>
<sst xmlns="http://schemas.openxmlformats.org/spreadsheetml/2006/main" count="34" uniqueCount="34">
  <si>
    <t>aarru</t>
  </si>
  <si>
    <t xml:space="preserve">nitin </t>
  </si>
  <si>
    <t xml:space="preserve">prince </t>
  </si>
  <si>
    <t xml:space="preserve">nancy </t>
  </si>
  <si>
    <t>aakash</t>
  </si>
  <si>
    <t xml:space="preserve">vance </t>
  </si>
  <si>
    <t xml:space="preserve">lakshay </t>
  </si>
  <si>
    <t xml:space="preserve">anika </t>
  </si>
  <si>
    <t xml:space="preserve">bhumika </t>
  </si>
  <si>
    <t xml:space="preserve">kanishka </t>
  </si>
  <si>
    <t>raghav</t>
  </si>
  <si>
    <t>vishu</t>
  </si>
  <si>
    <t xml:space="preserve">garima </t>
  </si>
  <si>
    <t>riya</t>
  </si>
  <si>
    <t>riyanshi</t>
  </si>
  <si>
    <t>tannu</t>
  </si>
  <si>
    <t>tanvi</t>
  </si>
  <si>
    <t>rudra</t>
  </si>
  <si>
    <t>gayatri</t>
  </si>
  <si>
    <t>vanshika</t>
  </si>
  <si>
    <t>NAME</t>
  </si>
  <si>
    <t>ROLL NUMBER</t>
  </si>
  <si>
    <t xml:space="preserve">HINDI </t>
  </si>
  <si>
    <t>ENGLISH</t>
  </si>
  <si>
    <t>SOCIAL SCIENCE</t>
  </si>
  <si>
    <t>MATH</t>
  </si>
  <si>
    <t>SCIENCE</t>
  </si>
  <si>
    <t>HIGHEST MARKS</t>
  </si>
  <si>
    <t>MINIMUM MARKS</t>
  </si>
  <si>
    <t>OBTAINED MARKS</t>
  </si>
  <si>
    <t>TOTAL MARKS</t>
  </si>
  <si>
    <t xml:space="preserve">AVERAGE MARKS </t>
  </si>
  <si>
    <t>percentage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</si>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</sst>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93C96-3243-4E37-A972-1641A1B62D41}">
  <dimension ref="A1:N21"/>
  <sheetViews>
    <sheetView tabSelected="1" workbookViewId="0">
      <selection activeCell="H2" sqref="H2:M21"/>
    </sheetView>
  </sheetViews>
  <sheetFormatPr defaultRowHeight="15" x14ac:dyDescent="0.25"/>
  <cols>
    <col min="2" max="2" width="13.5703125" bestFit="1" customWidth="1"/>
    <col min="5" max="5" width="15.140625" bestFit="1" customWidth="1"/>
    <col min="8" max="8" width="15.28515625" bestFit="1" customWidth="1"/>
    <col min="9" max="9" width="16.85546875" bestFit="1" customWidth="1"/>
    <col min="10" max="10" width="17" bestFit="1" customWidth="1"/>
    <col min="11" max="11" width="13.42578125" bestFit="1" customWidth="1"/>
    <col min="12" max="12" width="16.5703125" bestFit="1" customWidth="1"/>
    <col min="13" max="13" width="11" bestFit="1" customWidth="1"/>
  </cols>
  <sheetData>
    <row r="1" spans="1:14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</row>
    <row r="2" spans="1:14" x14ac:dyDescent="0.25">
      <c r="A2" s="3" t="s">
        <v>0</v>
      </c>
      <c r="B2" s="4">
        <v>1</v>
      </c>
      <c r="C2" s="5">
        <v>55</v>
      </c>
      <c r="D2" s="5">
        <v>56</v>
      </c>
      <c r="E2" s="5">
        <v>56</v>
      </c>
      <c r="F2" s="5">
        <v>78</v>
      </c>
      <c r="G2" s="5">
        <v>45</v>
      </c>
      <c r="H2" s="6">
        <f>MAX(C2:G2)</f>
        <v>78</v>
      </c>
      <c r="I2" s="6">
        <f>MIN(C2:G2)</f>
        <v>45</v>
      </c>
      <c r="J2" s="6">
        <f>SUM(C2:G2)</f>
        <v>290</v>
      </c>
      <c r="K2" s="6">
        <v>500</v>
      </c>
      <c r="L2" s="6">
        <f>AVERAGE(C2:G2)</f>
        <v>58</v>
      </c>
      <c r="M2" s="6">
        <f>(J2*100/500)</f>
        <v>58</v>
      </c>
      <c r="N2" s="1" t="str">
        <f>IF(M2&gt;=55,"pass","fail")</f>
        <v>pass</v>
      </c>
    </row>
    <row r="3" spans="1:14" x14ac:dyDescent="0.25">
      <c r="A3" s="3" t="s">
        <v>1</v>
      </c>
      <c r="B3" s="4">
        <v>2</v>
      </c>
      <c r="C3" s="5">
        <v>59</v>
      </c>
      <c r="D3" s="5">
        <v>54</v>
      </c>
      <c r="E3" s="5">
        <v>65</v>
      </c>
      <c r="F3" s="5">
        <v>88</v>
      </c>
      <c r="G3" s="5">
        <v>58</v>
      </c>
      <c r="H3" s="6">
        <f t="shared" ref="H3:H21" si="0">MAX(C3:G3)</f>
        <v>88</v>
      </c>
      <c r="I3" s="6">
        <f t="shared" ref="I3:I21" si="1">MIN(C3:G3)</f>
        <v>54</v>
      </c>
      <c r="J3" s="6">
        <f t="shared" ref="J3:J21" si="2">SUM(C3:G3)</f>
        <v>324</v>
      </c>
      <c r="K3" s="6">
        <v>500</v>
      </c>
      <c r="L3" s="6">
        <f t="shared" ref="L3:L21" si="3">AVERAGE(C3:G3)</f>
        <v>64.8</v>
      </c>
      <c r="M3" s="6">
        <f t="shared" ref="M3:M21" si="4">(J3*100/500)</f>
        <v>64.8</v>
      </c>
      <c r="N3" s="1" t="str">
        <f t="shared" ref="N3:N21" si="5">IF(M3&gt;=55,"pass","fail")</f>
        <v>pass</v>
      </c>
    </row>
    <row r="4" spans="1:14" x14ac:dyDescent="0.25">
      <c r="A4" s="3" t="s">
        <v>2</v>
      </c>
      <c r="B4" s="4">
        <v>3</v>
      </c>
      <c r="C4" s="5">
        <v>85</v>
      </c>
      <c r="D4" s="5">
        <v>45</v>
      </c>
      <c r="E4" s="5">
        <v>58</v>
      </c>
      <c r="F4" s="5">
        <v>52</v>
      </c>
      <c r="G4" s="5">
        <v>56</v>
      </c>
      <c r="H4" s="6">
        <f t="shared" si="0"/>
        <v>85</v>
      </c>
      <c r="I4" s="6">
        <f t="shared" si="1"/>
        <v>45</v>
      </c>
      <c r="J4" s="6">
        <f t="shared" si="2"/>
        <v>296</v>
      </c>
      <c r="K4" s="6">
        <v>500</v>
      </c>
      <c r="L4" s="6">
        <f t="shared" si="3"/>
        <v>59.2</v>
      </c>
      <c r="M4" s="6">
        <f t="shared" si="4"/>
        <v>59.2</v>
      </c>
      <c r="N4" s="1" t="str">
        <f t="shared" si="5"/>
        <v>pass</v>
      </c>
    </row>
    <row r="5" spans="1:14" x14ac:dyDescent="0.25">
      <c r="A5" s="3" t="s">
        <v>3</v>
      </c>
      <c r="B5" s="4">
        <v>4</v>
      </c>
      <c r="C5" s="5">
        <v>55</v>
      </c>
      <c r="D5" s="5">
        <v>74</v>
      </c>
      <c r="E5" s="5">
        <v>85</v>
      </c>
      <c r="F5" s="5">
        <v>25</v>
      </c>
      <c r="G5" s="5">
        <v>66</v>
      </c>
      <c r="H5" s="6">
        <f t="shared" si="0"/>
        <v>85</v>
      </c>
      <c r="I5" s="6">
        <f t="shared" si="1"/>
        <v>25</v>
      </c>
      <c r="J5" s="6">
        <f t="shared" si="2"/>
        <v>305</v>
      </c>
      <c r="K5" s="6">
        <v>500</v>
      </c>
      <c r="L5" s="6">
        <f t="shared" si="3"/>
        <v>61</v>
      </c>
      <c r="M5" s="6">
        <f t="shared" si="4"/>
        <v>61</v>
      </c>
      <c r="N5" s="1" t="str">
        <f t="shared" si="5"/>
        <v>pass</v>
      </c>
    </row>
    <row r="6" spans="1:14" x14ac:dyDescent="0.25">
      <c r="A6" s="3" t="s">
        <v>4</v>
      </c>
      <c r="B6" s="4">
        <v>5</v>
      </c>
      <c r="C6" s="5">
        <v>45</v>
      </c>
      <c r="D6" s="5">
        <v>74</v>
      </c>
      <c r="E6" s="5">
        <v>88</v>
      </c>
      <c r="F6" s="5">
        <v>205</v>
      </c>
      <c r="G6" s="5">
        <v>56</v>
      </c>
      <c r="H6" s="6">
        <f t="shared" si="0"/>
        <v>205</v>
      </c>
      <c r="I6" s="6">
        <f t="shared" si="1"/>
        <v>45</v>
      </c>
      <c r="J6" s="6">
        <f t="shared" si="2"/>
        <v>468</v>
      </c>
      <c r="K6" s="6">
        <v>500</v>
      </c>
      <c r="L6" s="6">
        <f t="shared" si="3"/>
        <v>93.6</v>
      </c>
      <c r="M6" s="6">
        <f t="shared" si="4"/>
        <v>93.6</v>
      </c>
      <c r="N6" s="1" t="str">
        <f t="shared" si="5"/>
        <v>pass</v>
      </c>
    </row>
    <row r="7" spans="1:14" x14ac:dyDescent="0.25">
      <c r="A7" s="3" t="s">
        <v>5</v>
      </c>
      <c r="B7" s="4">
        <v>6</v>
      </c>
      <c r="C7" s="5">
        <v>45</v>
      </c>
      <c r="D7" s="5">
        <v>47</v>
      </c>
      <c r="E7" s="5">
        <v>99</v>
      </c>
      <c r="F7" s="5">
        <v>24</v>
      </c>
      <c r="G7" s="5">
        <v>65</v>
      </c>
      <c r="H7" s="6">
        <f t="shared" si="0"/>
        <v>99</v>
      </c>
      <c r="I7" s="6">
        <f t="shared" si="1"/>
        <v>24</v>
      </c>
      <c r="J7" s="6">
        <f t="shared" si="2"/>
        <v>280</v>
      </c>
      <c r="K7" s="6">
        <v>500</v>
      </c>
      <c r="L7" s="6">
        <f t="shared" si="3"/>
        <v>56</v>
      </c>
      <c r="M7" s="6">
        <f t="shared" si="4"/>
        <v>56</v>
      </c>
      <c r="N7" s="1" t="str">
        <f t="shared" si="5"/>
        <v>pass</v>
      </c>
    </row>
    <row r="8" spans="1:14" x14ac:dyDescent="0.25">
      <c r="A8" s="3" t="s">
        <v>6</v>
      </c>
      <c r="B8" s="4">
        <v>7</v>
      </c>
      <c r="C8" s="5">
        <v>88</v>
      </c>
      <c r="D8" s="5">
        <v>48</v>
      </c>
      <c r="E8" s="5">
        <v>88</v>
      </c>
      <c r="F8" s="5">
        <v>45</v>
      </c>
      <c r="G8" s="5">
        <v>42</v>
      </c>
      <c r="H8" s="6">
        <f t="shared" si="0"/>
        <v>88</v>
      </c>
      <c r="I8" s="6">
        <f t="shared" si="1"/>
        <v>42</v>
      </c>
      <c r="J8" s="6">
        <f t="shared" si="2"/>
        <v>311</v>
      </c>
      <c r="K8" s="6">
        <v>500</v>
      </c>
      <c r="L8" s="6">
        <f t="shared" si="3"/>
        <v>62.2</v>
      </c>
      <c r="M8" s="6">
        <f t="shared" si="4"/>
        <v>62.2</v>
      </c>
      <c r="N8" s="1" t="str">
        <f t="shared" si="5"/>
        <v>pass</v>
      </c>
    </row>
    <row r="9" spans="1:14" x14ac:dyDescent="0.25">
      <c r="A9" s="3" t="s">
        <v>7</v>
      </c>
      <c r="B9" s="4">
        <v>8</v>
      </c>
      <c r="C9" s="5">
        <v>25</v>
      </c>
      <c r="D9" s="5">
        <v>48</v>
      </c>
      <c r="E9" s="5">
        <v>77</v>
      </c>
      <c r="F9" s="5">
        <v>55</v>
      </c>
      <c r="G9" s="5">
        <v>45</v>
      </c>
      <c r="H9" s="6">
        <f t="shared" si="0"/>
        <v>77</v>
      </c>
      <c r="I9" s="6">
        <f t="shared" si="1"/>
        <v>25</v>
      </c>
      <c r="J9" s="6">
        <f t="shared" si="2"/>
        <v>250</v>
      </c>
      <c r="K9" s="6">
        <v>500</v>
      </c>
      <c r="L9" s="6">
        <f t="shared" si="3"/>
        <v>50</v>
      </c>
      <c r="M9" s="6">
        <f t="shared" si="4"/>
        <v>50</v>
      </c>
      <c r="N9" s="1" t="str">
        <f t="shared" si="5"/>
        <v>fail</v>
      </c>
    </row>
    <row r="10" spans="1:14" x14ac:dyDescent="0.25">
      <c r="A10" s="3" t="s">
        <v>8</v>
      </c>
      <c r="B10" s="4">
        <v>9</v>
      </c>
      <c r="C10" s="5">
        <v>88</v>
      </c>
      <c r="D10" s="5">
        <v>48</v>
      </c>
      <c r="E10" s="5">
        <v>75</v>
      </c>
      <c r="F10" s="5">
        <v>66</v>
      </c>
      <c r="G10" s="5">
        <v>54</v>
      </c>
      <c r="H10" s="6">
        <f t="shared" si="0"/>
        <v>88</v>
      </c>
      <c r="I10" s="6">
        <f t="shared" si="1"/>
        <v>48</v>
      </c>
      <c r="J10" s="6">
        <f t="shared" si="2"/>
        <v>331</v>
      </c>
      <c r="K10" s="6">
        <v>500</v>
      </c>
      <c r="L10" s="6">
        <f t="shared" si="3"/>
        <v>66.2</v>
      </c>
      <c r="M10" s="6">
        <f t="shared" si="4"/>
        <v>66.2</v>
      </c>
      <c r="N10" s="1" t="str">
        <f t="shared" si="5"/>
        <v>pass</v>
      </c>
    </row>
    <row r="11" spans="1:14" x14ac:dyDescent="0.25">
      <c r="A11" s="3" t="s">
        <v>9</v>
      </c>
      <c r="B11" s="4">
        <v>10</v>
      </c>
      <c r="C11" s="5">
        <v>77</v>
      </c>
      <c r="D11" s="5">
        <v>49</v>
      </c>
      <c r="E11" s="5">
        <v>57</v>
      </c>
      <c r="F11" s="5">
        <v>88</v>
      </c>
      <c r="G11" s="5">
        <v>35</v>
      </c>
      <c r="H11" s="6">
        <f t="shared" si="0"/>
        <v>88</v>
      </c>
      <c r="I11" s="6">
        <f t="shared" si="1"/>
        <v>35</v>
      </c>
      <c r="J11" s="6">
        <f t="shared" si="2"/>
        <v>306</v>
      </c>
      <c r="K11" s="6">
        <v>500</v>
      </c>
      <c r="L11" s="6">
        <f t="shared" si="3"/>
        <v>61.2</v>
      </c>
      <c r="M11" s="6">
        <f t="shared" si="4"/>
        <v>61.2</v>
      </c>
      <c r="N11" s="1" t="str">
        <f t="shared" si="5"/>
        <v>pass</v>
      </c>
    </row>
    <row r="12" spans="1:14" x14ac:dyDescent="0.25">
      <c r="A12" s="3" t="s">
        <v>10</v>
      </c>
      <c r="B12" s="4">
        <v>11</v>
      </c>
      <c r="C12" s="5">
        <v>78</v>
      </c>
      <c r="D12" s="5">
        <v>84</v>
      </c>
      <c r="E12" s="5">
        <v>48</v>
      </c>
      <c r="F12" s="5">
        <v>85</v>
      </c>
      <c r="G12" s="5">
        <v>56</v>
      </c>
      <c r="H12" s="6">
        <f t="shared" si="0"/>
        <v>85</v>
      </c>
      <c r="I12" s="6">
        <f t="shared" si="1"/>
        <v>48</v>
      </c>
      <c r="J12" s="6">
        <f t="shared" si="2"/>
        <v>351</v>
      </c>
      <c r="K12" s="6">
        <v>500</v>
      </c>
      <c r="L12" s="6">
        <f t="shared" si="3"/>
        <v>70.2</v>
      </c>
      <c r="M12" s="6">
        <f t="shared" si="4"/>
        <v>70.2</v>
      </c>
      <c r="N12" s="1" t="str">
        <f t="shared" si="5"/>
        <v>pass</v>
      </c>
    </row>
    <row r="13" spans="1:14" x14ac:dyDescent="0.25">
      <c r="A13" s="3" t="s">
        <v>11</v>
      </c>
      <c r="B13" s="4">
        <v>12</v>
      </c>
      <c r="C13" s="5">
        <v>98</v>
      </c>
      <c r="D13" s="5">
        <v>52</v>
      </c>
      <c r="E13" s="5">
        <v>48</v>
      </c>
      <c r="F13" s="5">
        <v>85</v>
      </c>
      <c r="G13" s="5">
        <v>95</v>
      </c>
      <c r="H13" s="6">
        <f t="shared" si="0"/>
        <v>98</v>
      </c>
      <c r="I13" s="6">
        <f t="shared" si="1"/>
        <v>48</v>
      </c>
      <c r="J13" s="6">
        <f t="shared" si="2"/>
        <v>378</v>
      </c>
      <c r="K13" s="6">
        <v>500</v>
      </c>
      <c r="L13" s="6">
        <f t="shared" si="3"/>
        <v>75.599999999999994</v>
      </c>
      <c r="M13" s="6">
        <f t="shared" si="4"/>
        <v>75.599999999999994</v>
      </c>
      <c r="N13" s="1" t="str">
        <f t="shared" si="5"/>
        <v>pass</v>
      </c>
    </row>
    <row r="14" spans="1:14" x14ac:dyDescent="0.25">
      <c r="A14" s="3" t="s">
        <v>12</v>
      </c>
      <c r="B14" s="4">
        <v>13</v>
      </c>
      <c r="C14" s="5">
        <v>65</v>
      </c>
      <c r="D14" s="5">
        <v>52</v>
      </c>
      <c r="E14" s="5">
        <v>84</v>
      </c>
      <c r="F14" s="5">
        <v>78</v>
      </c>
      <c r="G14" s="5">
        <v>52</v>
      </c>
      <c r="H14" s="6">
        <f t="shared" si="0"/>
        <v>84</v>
      </c>
      <c r="I14" s="6">
        <f t="shared" si="1"/>
        <v>52</v>
      </c>
      <c r="J14" s="6">
        <f t="shared" si="2"/>
        <v>331</v>
      </c>
      <c r="K14" s="6">
        <v>500</v>
      </c>
      <c r="L14" s="6">
        <f t="shared" si="3"/>
        <v>66.2</v>
      </c>
      <c r="M14" s="6">
        <f t="shared" si="4"/>
        <v>66.2</v>
      </c>
      <c r="N14" s="1" t="str">
        <f t="shared" si="5"/>
        <v>pass</v>
      </c>
    </row>
    <row r="15" spans="1:14" x14ac:dyDescent="0.25">
      <c r="A15" s="3" t="s">
        <v>13</v>
      </c>
      <c r="B15" s="4">
        <v>14</v>
      </c>
      <c r="C15" s="5">
        <v>56</v>
      </c>
      <c r="D15" s="5">
        <v>56</v>
      </c>
      <c r="E15" s="5">
        <v>84</v>
      </c>
      <c r="F15" s="5">
        <v>75</v>
      </c>
      <c r="G15" s="5">
        <v>45</v>
      </c>
      <c r="H15" s="6">
        <f t="shared" si="0"/>
        <v>84</v>
      </c>
      <c r="I15" s="6">
        <f t="shared" si="1"/>
        <v>45</v>
      </c>
      <c r="J15" s="6">
        <f t="shared" si="2"/>
        <v>316</v>
      </c>
      <c r="K15" s="6">
        <v>500</v>
      </c>
      <c r="L15" s="6">
        <f t="shared" si="3"/>
        <v>63.2</v>
      </c>
      <c r="M15" s="6">
        <f t="shared" si="4"/>
        <v>63.2</v>
      </c>
      <c r="N15" s="1" t="str">
        <f t="shared" si="5"/>
        <v>pass</v>
      </c>
    </row>
    <row r="16" spans="1:14" x14ac:dyDescent="0.25">
      <c r="A16" s="3" t="s">
        <v>14</v>
      </c>
      <c r="B16" s="4">
        <v>15</v>
      </c>
      <c r="C16" s="5">
        <v>95</v>
      </c>
      <c r="D16" s="5">
        <v>52</v>
      </c>
      <c r="E16" s="5">
        <v>56</v>
      </c>
      <c r="F16" s="5">
        <v>99</v>
      </c>
      <c r="G16" s="5">
        <v>45</v>
      </c>
      <c r="H16" s="6">
        <f t="shared" si="0"/>
        <v>99</v>
      </c>
      <c r="I16" s="6">
        <f t="shared" si="1"/>
        <v>45</v>
      </c>
      <c r="J16" s="6">
        <f t="shared" si="2"/>
        <v>347</v>
      </c>
      <c r="K16" s="6">
        <v>500</v>
      </c>
      <c r="L16" s="6">
        <f t="shared" si="3"/>
        <v>69.400000000000006</v>
      </c>
      <c r="M16" s="6">
        <f t="shared" si="4"/>
        <v>69.400000000000006</v>
      </c>
      <c r="N16" s="1" t="str">
        <f t="shared" si="5"/>
        <v>pass</v>
      </c>
    </row>
    <row r="17" spans="1:14" x14ac:dyDescent="0.25">
      <c r="A17" s="3" t="s">
        <v>15</v>
      </c>
      <c r="B17" s="4">
        <v>16</v>
      </c>
      <c r="C17" s="5">
        <v>59</v>
      </c>
      <c r="D17" s="5">
        <v>56</v>
      </c>
      <c r="E17" s="5">
        <v>65</v>
      </c>
      <c r="F17" s="5">
        <v>56</v>
      </c>
      <c r="G17" s="5">
        <v>25</v>
      </c>
      <c r="H17" s="6">
        <f t="shared" si="0"/>
        <v>65</v>
      </c>
      <c r="I17" s="6">
        <f t="shared" si="1"/>
        <v>25</v>
      </c>
      <c r="J17" s="6">
        <f t="shared" si="2"/>
        <v>261</v>
      </c>
      <c r="K17" s="6">
        <v>500</v>
      </c>
      <c r="L17" s="6">
        <f t="shared" si="3"/>
        <v>52.2</v>
      </c>
      <c r="M17" s="6">
        <f t="shared" si="4"/>
        <v>52.2</v>
      </c>
      <c r="N17" s="1" t="str">
        <f t="shared" si="5"/>
        <v>fail</v>
      </c>
    </row>
    <row r="18" spans="1:14" x14ac:dyDescent="0.25">
      <c r="A18" s="3" t="s">
        <v>16</v>
      </c>
      <c r="B18" s="4">
        <v>17</v>
      </c>
      <c r="C18" s="5">
        <v>25</v>
      </c>
      <c r="D18" s="5">
        <v>53</v>
      </c>
      <c r="E18" s="5">
        <v>35</v>
      </c>
      <c r="F18" s="5">
        <v>78</v>
      </c>
      <c r="G18" s="5">
        <v>45</v>
      </c>
      <c r="H18" s="6">
        <f t="shared" si="0"/>
        <v>78</v>
      </c>
      <c r="I18" s="6">
        <f t="shared" si="1"/>
        <v>25</v>
      </c>
      <c r="J18" s="6">
        <f t="shared" si="2"/>
        <v>236</v>
      </c>
      <c r="K18" s="6">
        <v>500</v>
      </c>
      <c r="L18" s="6">
        <f t="shared" si="3"/>
        <v>47.2</v>
      </c>
      <c r="M18" s="6">
        <f t="shared" si="4"/>
        <v>47.2</v>
      </c>
      <c r="N18" s="1" t="str">
        <f t="shared" si="5"/>
        <v>fail</v>
      </c>
    </row>
    <row r="19" spans="1:14" x14ac:dyDescent="0.25">
      <c r="A19" s="3" t="s">
        <v>17</v>
      </c>
      <c r="B19" s="4">
        <v>18</v>
      </c>
      <c r="C19" s="5">
        <v>24</v>
      </c>
      <c r="D19" s="5">
        <v>35</v>
      </c>
      <c r="E19" s="5">
        <v>25</v>
      </c>
      <c r="F19" s="5">
        <v>45</v>
      </c>
      <c r="G19" s="5">
        <v>56</v>
      </c>
      <c r="H19" s="6">
        <f t="shared" si="0"/>
        <v>56</v>
      </c>
      <c r="I19" s="6">
        <f t="shared" si="1"/>
        <v>24</v>
      </c>
      <c r="J19" s="6">
        <f t="shared" si="2"/>
        <v>185</v>
      </c>
      <c r="K19" s="6">
        <v>500</v>
      </c>
      <c r="L19" s="6">
        <f t="shared" si="3"/>
        <v>37</v>
      </c>
      <c r="M19" s="6">
        <f t="shared" si="4"/>
        <v>37</v>
      </c>
      <c r="N19" s="1" t="str">
        <f t="shared" si="5"/>
        <v>fail</v>
      </c>
    </row>
    <row r="20" spans="1:14" x14ac:dyDescent="0.25">
      <c r="A20" s="3" t="s">
        <v>18</v>
      </c>
      <c r="B20" s="4">
        <v>19</v>
      </c>
      <c r="C20" s="5">
        <v>42</v>
      </c>
      <c r="D20" s="5">
        <v>45</v>
      </c>
      <c r="E20" s="5">
        <v>52</v>
      </c>
      <c r="F20" s="5">
        <v>85</v>
      </c>
      <c r="G20" s="5">
        <v>45</v>
      </c>
      <c r="H20" s="6">
        <f t="shared" si="0"/>
        <v>85</v>
      </c>
      <c r="I20" s="6">
        <f t="shared" si="1"/>
        <v>42</v>
      </c>
      <c r="J20" s="6">
        <f t="shared" si="2"/>
        <v>269</v>
      </c>
      <c r="K20" s="6">
        <v>500</v>
      </c>
      <c r="L20" s="6">
        <f t="shared" si="3"/>
        <v>53.8</v>
      </c>
      <c r="M20" s="6">
        <f t="shared" si="4"/>
        <v>53.8</v>
      </c>
      <c r="N20" s="1" t="str">
        <f t="shared" si="5"/>
        <v>fail</v>
      </c>
    </row>
    <row r="21" spans="1:14" x14ac:dyDescent="0.25">
      <c r="A21" s="3" t="s">
        <v>19</v>
      </c>
      <c r="B21" s="4">
        <v>20</v>
      </c>
      <c r="C21" s="5">
        <v>45</v>
      </c>
      <c r="D21" s="5">
        <v>48</v>
      </c>
      <c r="E21" s="5">
        <v>45</v>
      </c>
      <c r="F21" s="5">
        <v>45</v>
      </c>
      <c r="G21" s="5">
        <v>56</v>
      </c>
      <c r="H21" s="6">
        <f t="shared" si="0"/>
        <v>56</v>
      </c>
      <c r="I21" s="6">
        <f t="shared" si="1"/>
        <v>45</v>
      </c>
      <c r="J21" s="6">
        <f t="shared" si="2"/>
        <v>239</v>
      </c>
      <c r="K21" s="6">
        <v>500</v>
      </c>
      <c r="L21" s="6">
        <f t="shared" si="3"/>
        <v>47.8</v>
      </c>
      <c r="M21" s="6">
        <f t="shared" si="4"/>
        <v>47.8</v>
      </c>
      <c r="N21" s="1" t="str">
        <f t="shared" si="5"/>
        <v>fail</v>
      </c>
    </row>
  </sheetData>
  <conditionalFormatting sqref="N2:N21">
    <cfRule type="containsText" dxfId="0" priority="2" operator="containsText" text="pass">
      <formula>NOT(ISERROR(SEARCH("pass",N2)))</formula>
    </cfRule>
    <cfRule type="containsText" dxfId="1" priority="1" operator="containsText" text="fail">
      <formula>NOT(ISERROR(SEARCH("fail",N2)))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2025-11-25T13:16:09Z</dcterms:created>
  <dcterms:modified xsi:type="dcterms:W3CDTF">2025-11-25T13:35:47Z</dcterms:modified>
</cp:coreProperties>
</file>